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inge\PycharmProjects\EbfData\resources\udfs\"/>
    </mc:Choice>
  </mc:AlternateContent>
  <xr:revisionPtr revIDLastSave="0" documentId="13_ncr:1_{7E95B971-D7CB-48A8-AFFB-F1A4CA830862}" xr6:coauthVersionLast="47" xr6:coauthVersionMax="47" xr10:uidLastSave="{00000000-0000-0000-0000-000000000000}"/>
  <bookViews>
    <workbookView xWindow="-38510" yWindow="-21710" windowWidth="38620" windowHeight="21100" xr2:uid="{DD227089-035D-4C4E-A521-E561E23B470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btc_max_buyback_amoun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tc_next_cutoff_dat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tc_should_buy_back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tc_te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1" i="1" l="1" a="1"/>
  <c r="H21" i="1" l="1"/>
  <c r="P7" i="1" l="1" a="1"/>
  <c r="P8" i="1" a="1"/>
  <c r="P6" i="1" a="1"/>
  <c r="M7" i="1" a="1"/>
  <c r="M8" i="1" a="1"/>
  <c r="M6" i="1" a="1"/>
  <c r="J7" i="1" a="1"/>
  <c r="J8" i="1" a="1"/>
  <c r="H7" i="1" a="1"/>
  <c r="H8" i="1" a="1"/>
  <c r="H6" i="1" a="1"/>
  <c r="J6" i="1" a="1"/>
  <c r="H3" i="1" a="1"/>
  <c r="P8" i="1" l="1"/>
  <c r="P7" i="1"/>
  <c r="P6" i="1"/>
  <c r="M8" i="1"/>
  <c r="M7" i="1"/>
  <c r="M6" i="1"/>
  <c r="J8" i="1"/>
  <c r="J7" i="1"/>
  <c r="H8" i="1"/>
  <c r="H7" i="1"/>
  <c r="H6" i="1"/>
  <c r="J6" i="1"/>
  <c r="H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<sst xmlns="http://schemas.openxmlformats.org/spreadsheetml/2006/main" count="23" uniqueCount="18">
  <si>
    <t>Late</t>
  </si>
  <si>
    <t>Mid</t>
  </si>
  <si>
    <t>Early</t>
  </si>
  <si>
    <t>Premium</t>
  </si>
  <si>
    <t>Start</t>
  </si>
  <si>
    <t>Term</t>
  </si>
  <si>
    <t>End</t>
  </si>
  <si>
    <t>TEST FUNC</t>
  </si>
  <si>
    <t>blah</t>
  </si>
  <si>
    <t>string</t>
  </si>
  <si>
    <t>MAX</t>
  </si>
  <si>
    <t>BUY BACK</t>
  </si>
  <si>
    <t>NEXT</t>
  </si>
  <si>
    <t>CUTOFF</t>
  </si>
  <si>
    <t>SHOULD</t>
  </si>
  <si>
    <t>Ask</t>
  </si>
  <si>
    <t>Eval Date</t>
  </si>
  <si>
    <t>Override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</si>
</sst>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1EFF2-4282-4105-82AD-74B7336FDA47}">
  <sheetPr codeName="Sheet1"/>
  <dimension ref="B2:Q21"/>
  <sheetViews>
    <sheetView tabSelected="1" workbookViewId="0">
      <selection activeCell="H23" sqref="H23"/>
    </sheetView>
  </sheetViews>
  <sheetFormatPr defaultRowHeight="14.25"/>
  <cols>
    <col min="2" max="3" width="9.875" bestFit="1" customWidth="1"/>
    <col min="6" max="6" width="9.875" bestFit="1" customWidth="1"/>
    <col min="8" max="8" width="10.625" customWidth="1"/>
    <col min="10" max="11" width="10.625" customWidth="1"/>
    <col min="12" max="12" width="7.25" customWidth="1"/>
    <col min="13" max="13" width="10.625" customWidth="1"/>
    <col min="14" max="14" width="3.625" customWidth="1"/>
    <col min="15" max="15" width="8.875" bestFit="1" customWidth="1"/>
    <col min="16" max="16" width="10.625" customWidth="1"/>
  </cols>
  <sheetData>
    <row r="2" spans="2:17">
      <c r="H2" t="s">
        <v>7</v>
      </c>
      <c r="M2" t="s">
        <v>16</v>
      </c>
      <c r="P2" t="s">
        <v>16</v>
      </c>
    </row>
    <row r="3" spans="2:17">
      <c r="B3" t="s">
        <v>5</v>
      </c>
      <c r="E3" t="s">
        <v>3</v>
      </c>
      <c r="F3">
        <v>0.22</v>
      </c>
      <c r="H3" t="str" cm="1">
        <f t="array" ref="H3">btc_test(B5)</f>
        <v>&lt;class 'datetime.datetime'&gt; | 2026-05-01 00:00:00</v>
      </c>
      <c r="M3" s="1">
        <v>46150</v>
      </c>
      <c r="N3" s="1"/>
      <c r="P3" s="1">
        <v>46150</v>
      </c>
    </row>
    <row r="4" spans="2:17" ht="15">
      <c r="B4" t="s">
        <v>4</v>
      </c>
      <c r="C4" t="s">
        <v>6</v>
      </c>
      <c r="E4" t="s">
        <v>9</v>
      </c>
      <c r="F4" t="s">
        <v>8</v>
      </c>
      <c r="H4" s="2" t="s">
        <v>12</v>
      </c>
      <c r="I4" s="3"/>
      <c r="J4" s="2" t="s">
        <v>10</v>
      </c>
      <c r="K4" s="2"/>
      <c r="L4" s="3"/>
      <c r="M4" s="2" t="s">
        <v>14</v>
      </c>
      <c r="N4" s="2"/>
      <c r="O4" s="2" t="s">
        <v>15</v>
      </c>
      <c r="P4" s="2" t="s">
        <v>14</v>
      </c>
      <c r="Q4" s="3"/>
    </row>
    <row r="5" spans="2:17" ht="15">
      <c r="B5" s="1">
        <v>46143</v>
      </c>
      <c r="C5" s="1">
        <v>46255</v>
      </c>
      <c r="H5" s="2" t="s">
        <v>13</v>
      </c>
      <c r="I5" s="2"/>
      <c r="J5" s="2" t="s">
        <v>11</v>
      </c>
      <c r="K5" s="2"/>
      <c r="L5" s="2" t="s">
        <v>15</v>
      </c>
      <c r="M5" s="2" t="s">
        <v>11</v>
      </c>
      <c r="N5" s="2"/>
      <c r="O5" s="2" t="s">
        <v>17</v>
      </c>
      <c r="P5" s="2" t="s">
        <v>11</v>
      </c>
      <c r="Q5" s="3"/>
    </row>
    <row r="6" spans="2:17">
      <c r="E6" t="s">
        <v>2</v>
      </c>
      <c r="F6" s="1">
        <v>46150</v>
      </c>
      <c r="H6" s="1" cm="1">
        <f t="array" ref="H6">btc_next_cutoff_date($B$5, $C$5, F6)</f>
        <v>46202.666666666664</v>
      </c>
      <c r="J6" cm="1">
        <f t="array" ref="J6">btc_max_buyback_amount($B$5, $C$5, $F$3, F6)</f>
        <v>0.04</v>
      </c>
      <c r="L6">
        <v>0.05</v>
      </c>
      <c r="M6" t="b" cm="1">
        <f t="array" ref="M6">btc_should_buy_back($B$5, $C$5, $F$3,L6, $M$3)</f>
        <v>0</v>
      </c>
      <c r="O6">
        <v>0.01</v>
      </c>
      <c r="P6" t="b" cm="1">
        <f t="array" ref="P6">btc_should_buy_back($B$5, $C$5, $F$3,L6, $M$3, O6)</f>
        <v>1</v>
      </c>
    </row>
    <row r="7" spans="2:17">
      <c r="E7" t="s">
        <v>0</v>
      </c>
      <c r="F7" s="1">
        <v>46239</v>
      </c>
      <c r="H7" s="1" cm="1">
        <f t="array" ref="H7">btc_next_cutoff_date($B$5, $C$5, F7)</f>
        <v>46255.666666666664</v>
      </c>
      <c r="J7" cm="1">
        <f t="array" ref="J7">btc_max_buyback_amount($B$5, $C$5, $F$3, F7)</f>
        <v>0.02</v>
      </c>
      <c r="L7">
        <v>0.01</v>
      </c>
      <c r="M7" t="b" cm="1">
        <f t="array" ref="M7">btc_should_buy_back($B$5, $C$5, $F$3,L7, $M$3)</f>
        <v>1</v>
      </c>
      <c r="O7">
        <v>0.05</v>
      </c>
      <c r="P7" t="b" cm="1">
        <f t="array" ref="P7">btc_should_buy_back($B$5, $C$5, $F$3,L7, $M$3, O7)</f>
        <v>0</v>
      </c>
    </row>
    <row r="8" spans="2:17">
      <c r="E8" t="s">
        <v>1</v>
      </c>
      <c r="F8" s="1">
        <v>46202</v>
      </c>
      <c r="H8" s="1" cm="1">
        <f t="array" ref="H8">btc_next_cutoff_date($B$5, $C$5, F8)</f>
        <v>46202.666666666664</v>
      </c>
      <c r="J8" cm="1">
        <f t="array" ref="J8">btc_max_buyback_amount($B$5, $C$5, $F$3, F8)</f>
        <v>0.04</v>
      </c>
      <c r="L8">
        <v>0.03</v>
      </c>
      <c r="M8" t="b" cm="1">
        <f t="array" ref="M8">btc_should_buy_back($B$5, $C$5, $F$3,L8, $M$3)</f>
        <v>1</v>
      </c>
      <c r="O8">
        <v>0.1</v>
      </c>
      <c r="P8" t="b" cm="1">
        <f t="array" ref="P8">btc_should_buy_back($B$5, $C$5, $F$3,L8, $M$3, O8)</f>
        <v>0</v>
      </c>
    </row>
    <row r="21" spans="2:8">
      <c r="B21" s="4">
        <v>46195</v>
      </c>
      <c r="C21" s="4">
        <v>46220</v>
      </c>
      <c r="H21" s="1" cm="1">
        <f t="array" ref="H21">btc_next_cutoff_date(B21, C21)</f>
        <v>46209.666666666664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Fingerhut</dc:creator>
  <cp:lastModifiedBy>Eric Fingerhut</cp:lastModifiedBy>
  <dcterms:created xsi:type="dcterms:W3CDTF">2026-07-04T17:45:41Z</dcterms:created>
  <dcterms:modified xsi:type="dcterms:W3CDTF">2026-07-05T17:57:53Z</dcterms:modified>
</cp:coreProperties>
</file>